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BACK UP\Documents\"/>
    </mc:Choice>
  </mc:AlternateContent>
  <xr:revisionPtr revIDLastSave="0" documentId="13_ncr:1_{0CA583C1-847C-4E34-A2B1-E5785560119B}" xr6:coauthVersionLast="47" xr6:coauthVersionMax="47" xr10:uidLastSave="{00000000-0000-0000-0000-000000000000}"/>
  <bookViews>
    <workbookView xWindow="-120" yWindow="-120" windowWidth="29040" windowHeight="15720" xr2:uid="{15E94EF5-E35D-44C2-B8AB-954D6C9055D4}"/>
  </bookViews>
  <sheets>
    <sheet name="PADANG BAI" sheetId="2" r:id="rId1"/>
    <sheet name="NUSA PENIDA" sheetId="7" r:id="rId2"/>
    <sheet name="NUSA LEMBONGAN" sheetId="11" r:id="rId3"/>
    <sheet name="SANUR" sheetId="12" r:id="rId4"/>
    <sheet name="SERANGA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0" l="1"/>
  <c r="K7" i="10"/>
  <c r="K6" i="10"/>
  <c r="K5" i="10"/>
  <c r="K10" i="12"/>
  <c r="K9" i="12"/>
  <c r="K8" i="12"/>
  <c r="K7" i="12"/>
  <c r="K6" i="12"/>
  <c r="K5" i="12"/>
  <c r="K12" i="11"/>
  <c r="K11" i="11"/>
  <c r="K10" i="11"/>
  <c r="K9" i="11"/>
  <c r="K8" i="11"/>
  <c r="K7" i="11"/>
  <c r="K6" i="11"/>
  <c r="K5" i="11"/>
  <c r="K12" i="7"/>
  <c r="K11" i="7"/>
  <c r="K10" i="7"/>
  <c r="K9" i="7"/>
  <c r="K8" i="7"/>
  <c r="K7" i="7"/>
  <c r="K6" i="7"/>
  <c r="K5" i="7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5" i="2"/>
</calcChain>
</file>

<file path=xl/sharedStrings.xml><?xml version="1.0" encoding="utf-8"?>
<sst xmlns="http://schemas.openxmlformats.org/spreadsheetml/2006/main" count="96" uniqueCount="25">
  <si>
    <t>NO</t>
  </si>
  <si>
    <t>COMPANY</t>
  </si>
  <si>
    <t>Eka Jaya Fast Boat</t>
  </si>
  <si>
    <t>Gili Gateway Fast Ferry</t>
  </si>
  <si>
    <t>Gili Gili Fast Boat</t>
  </si>
  <si>
    <t>Golden Queen Fast Boat</t>
  </si>
  <si>
    <t>Ostina Fast Boat</t>
  </si>
  <si>
    <t>PT BUDIMAN INDAH PERKASA</t>
  </si>
  <si>
    <t>PT MODEREN APOLLO EKSPRESS</t>
  </si>
  <si>
    <t>PT. DCAMEL WISATA SAMUDRA NUSA</t>
  </si>
  <si>
    <t>PT. SEGARA KUTUH</t>
  </si>
  <si>
    <t>PT. SEMAYA RESTU JAYA SAMUDRA</t>
  </si>
  <si>
    <t>PT. STARFISH FAST CRUISE</t>
  </si>
  <si>
    <t>PT. WIJAYA BUYUK ABADI</t>
  </si>
  <si>
    <t>WAHANA VIRENDRA</t>
  </si>
  <si>
    <t>TIME SCHEDULE/PORT OF DEPARTURE</t>
  </si>
  <si>
    <t>GILI TRAWANGAN</t>
  </si>
  <si>
    <t>GILI MENO</t>
  </si>
  <si>
    <t>GILI AIR</t>
  </si>
  <si>
    <t>BANGSAL LOMBOK</t>
  </si>
  <si>
    <t>SENGGIGI</t>
  </si>
  <si>
    <t>Eka Jaya Fast Boat (MATRA)</t>
  </si>
  <si>
    <t>PRICE/PAX</t>
  </si>
  <si>
    <t>NET PRICE/PAX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</si>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</sst>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DR]\ * #,##0_);_([$IDR]\ * \(#,##0\);_([$IDR]\ * &quot;-&quot;_);_(@_)"/>
  </numFmts>
  <fonts count="8">
    <font>
      <sz val="11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  <charset val="134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8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8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8" fontId="5" fillId="4" borderId="1" xfId="0" applyNumberFormat="1" applyFont="1" applyFill="1" applyBorder="1" applyAlignment="1">
      <alignment horizontal="center" vertical="center"/>
    </xf>
    <xf numFmtId="18" fontId="7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8" fontId="5" fillId="6" borderId="1" xfId="0" applyNumberFormat="1" applyFont="1" applyFill="1" applyBorder="1" applyAlignment="1">
      <alignment horizontal="center" vertical="center" wrapText="1"/>
    </xf>
    <xf numFmtId="18" fontId="5" fillId="6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10BB-36D8-47E1-8DA8-41F3D263BB6A}">
  <dimension ref="B3:K19"/>
  <sheetViews>
    <sheetView tabSelected="1" workbookViewId="0">
      <selection activeCell="J23" sqref="J23"/>
    </sheetView>
  </sheetViews>
  <sheetFormatPr defaultRowHeight="15"/>
  <cols>
    <col min="2" max="2" width="5.7109375" customWidth="1"/>
    <col min="3" max="3" width="32.7109375" bestFit="1" customWidth="1"/>
    <col min="4" max="4" width="16" customWidth="1"/>
    <col min="5" max="5" width="10.28515625" customWidth="1"/>
    <col min="6" max="6" width="10" customWidth="1"/>
    <col min="7" max="7" width="18.42578125" customWidth="1"/>
    <col min="8" max="8" width="12.85546875" customWidth="1"/>
    <col min="9" max="9" width="20" customWidth="1"/>
    <col min="10" max="10" width="16.42578125" customWidth="1"/>
    <col min="11" max="11" width="16.85546875" customWidth="1"/>
  </cols>
  <sheetData>
    <row r="3" spans="2:11">
      <c r="B3" s="12" t="s">
        <v>0</v>
      </c>
      <c r="C3" s="13" t="s">
        <v>1</v>
      </c>
      <c r="D3" s="14" t="s">
        <v>15</v>
      </c>
      <c r="E3" s="14"/>
      <c r="F3" s="14"/>
      <c r="G3" s="14"/>
      <c r="H3" s="14"/>
      <c r="I3" s="17" t="s">
        <v>22</v>
      </c>
      <c r="J3" s="17" t="s">
        <v>23</v>
      </c>
      <c r="K3" s="17" t="s">
        <v>24</v>
      </c>
    </row>
    <row r="4" spans="2:11">
      <c r="B4" s="12"/>
      <c r="C4" s="13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7"/>
      <c r="J4" s="17"/>
      <c r="K4" s="17"/>
    </row>
    <row r="5" spans="2:11">
      <c r="B5" s="2">
        <v>1</v>
      </c>
      <c r="C5" s="3" t="s">
        <v>2</v>
      </c>
      <c r="D5" s="4">
        <v>0.375</v>
      </c>
      <c r="E5" s="6">
        <v>0.35416666666666669</v>
      </c>
      <c r="F5" s="6">
        <v>0.34375</v>
      </c>
      <c r="G5" s="6">
        <v>0.33333333333333331</v>
      </c>
      <c r="H5" s="5"/>
      <c r="I5" s="18">
        <v>650000</v>
      </c>
      <c r="J5" s="18">
        <v>600000</v>
      </c>
      <c r="K5" s="19">
        <f>I5-J5</f>
        <v>50000</v>
      </c>
    </row>
    <row r="6" spans="2:11">
      <c r="B6" s="2">
        <v>2</v>
      </c>
      <c r="C6" s="7" t="s">
        <v>21</v>
      </c>
      <c r="D6" s="4">
        <v>0.41666666666666669</v>
      </c>
      <c r="E6" s="5"/>
      <c r="F6" s="5"/>
      <c r="G6" s="5"/>
      <c r="H6" s="4">
        <v>0.44791666666666669</v>
      </c>
      <c r="I6" s="19">
        <v>650000</v>
      </c>
      <c r="J6" s="18">
        <v>600000</v>
      </c>
      <c r="K6" s="19">
        <f t="shared" ref="K6:K19" si="0">I6-J6</f>
        <v>50000</v>
      </c>
    </row>
    <row r="7" spans="2:11">
      <c r="B7" s="2">
        <v>3</v>
      </c>
      <c r="C7" s="7" t="s">
        <v>21</v>
      </c>
      <c r="D7" s="9">
        <v>0.625</v>
      </c>
      <c r="E7" s="5"/>
      <c r="F7" s="5"/>
      <c r="G7" s="5"/>
      <c r="H7" s="6">
        <v>0.58333333333333337</v>
      </c>
      <c r="I7" s="19">
        <v>650000</v>
      </c>
      <c r="J7" s="18">
        <v>600000</v>
      </c>
      <c r="K7" s="19">
        <f t="shared" si="0"/>
        <v>50000</v>
      </c>
    </row>
    <row r="8" spans="2:11">
      <c r="B8" s="2">
        <v>4</v>
      </c>
      <c r="C8" s="7" t="s">
        <v>4</v>
      </c>
      <c r="D8" s="4">
        <v>0.4375</v>
      </c>
      <c r="E8" s="5"/>
      <c r="F8" s="4">
        <v>0.45833333333333331</v>
      </c>
      <c r="G8" s="6">
        <v>0.46875</v>
      </c>
      <c r="H8" s="5"/>
      <c r="I8" s="19">
        <v>450000</v>
      </c>
      <c r="J8" s="19">
        <v>375000</v>
      </c>
      <c r="K8" s="19">
        <f t="shared" si="0"/>
        <v>75000</v>
      </c>
    </row>
    <row r="9" spans="2:11">
      <c r="B9" s="2">
        <v>5</v>
      </c>
      <c r="C9" s="3" t="s">
        <v>5</v>
      </c>
      <c r="D9" s="4">
        <v>0.4375</v>
      </c>
      <c r="E9" s="5"/>
      <c r="F9" s="4">
        <v>0.45833333333333331</v>
      </c>
      <c r="G9" s="6">
        <v>0.47916666666666669</v>
      </c>
      <c r="H9" s="5"/>
      <c r="I9" s="19">
        <v>300000</v>
      </c>
      <c r="J9" s="19">
        <v>250000</v>
      </c>
      <c r="K9" s="19">
        <f t="shared" si="0"/>
        <v>50000</v>
      </c>
    </row>
    <row r="10" spans="2:11">
      <c r="B10" s="2">
        <v>6</v>
      </c>
      <c r="C10" s="3" t="s">
        <v>6</v>
      </c>
      <c r="D10" s="4">
        <v>0.47916666666666669</v>
      </c>
      <c r="E10" s="5"/>
      <c r="F10" s="6">
        <v>0.5</v>
      </c>
      <c r="G10" s="6">
        <v>0.52083333333333337</v>
      </c>
      <c r="H10" s="5"/>
      <c r="I10" s="19">
        <v>375000</v>
      </c>
      <c r="J10" s="19">
        <v>300000</v>
      </c>
      <c r="K10" s="19">
        <f t="shared" si="0"/>
        <v>75000</v>
      </c>
    </row>
    <row r="11" spans="2:11">
      <c r="B11" s="2">
        <v>7</v>
      </c>
      <c r="C11" s="3" t="s">
        <v>8</v>
      </c>
      <c r="D11" s="8">
        <v>0.5</v>
      </c>
      <c r="E11" s="5"/>
      <c r="F11" s="6">
        <v>0.98958333333333337</v>
      </c>
      <c r="G11" s="6">
        <v>0.97916666666666663</v>
      </c>
      <c r="H11" s="5"/>
      <c r="I11" s="19">
        <v>300000</v>
      </c>
      <c r="J11" s="19">
        <v>250000</v>
      </c>
      <c r="K11" s="19">
        <f t="shared" si="0"/>
        <v>50000</v>
      </c>
    </row>
    <row r="12" spans="2:11">
      <c r="B12" s="2">
        <v>8</v>
      </c>
      <c r="C12" s="3" t="s">
        <v>9</v>
      </c>
      <c r="D12" s="4">
        <v>0.52083333333333337</v>
      </c>
      <c r="E12" s="5"/>
      <c r="F12" s="6">
        <v>0.53125</v>
      </c>
      <c r="G12" s="6">
        <v>0.54861111111111116</v>
      </c>
      <c r="H12" s="5"/>
      <c r="I12" s="19">
        <v>450000</v>
      </c>
      <c r="J12" s="19">
        <v>300000</v>
      </c>
      <c r="K12" s="19">
        <f t="shared" si="0"/>
        <v>150000</v>
      </c>
    </row>
    <row r="13" spans="2:11">
      <c r="B13" s="2">
        <v>9</v>
      </c>
      <c r="C13" s="10" t="s">
        <v>11</v>
      </c>
      <c r="D13" s="9">
        <v>0.41666666666666669</v>
      </c>
      <c r="E13" s="5"/>
      <c r="F13" s="6">
        <v>0.4375</v>
      </c>
      <c r="G13" s="6">
        <v>0.45833333333333331</v>
      </c>
      <c r="H13" s="5"/>
      <c r="I13" s="19">
        <v>375000</v>
      </c>
      <c r="J13" s="19">
        <v>275000</v>
      </c>
      <c r="K13" s="19">
        <f t="shared" si="0"/>
        <v>100000</v>
      </c>
    </row>
    <row r="14" spans="2:11">
      <c r="B14" s="2">
        <v>10</v>
      </c>
      <c r="C14" s="3" t="s">
        <v>11</v>
      </c>
      <c r="D14" s="4">
        <v>0.64583333333333337</v>
      </c>
      <c r="E14" s="5"/>
      <c r="F14" s="6">
        <v>0.63541666666666663</v>
      </c>
      <c r="G14" s="6">
        <v>0.625</v>
      </c>
      <c r="H14" s="4">
        <v>0.59722222222222221</v>
      </c>
      <c r="I14" s="19">
        <v>375000</v>
      </c>
      <c r="J14" s="19">
        <v>275000</v>
      </c>
      <c r="K14" s="19">
        <f t="shared" si="0"/>
        <v>100000</v>
      </c>
    </row>
    <row r="15" spans="2:11">
      <c r="B15" s="2">
        <v>11</v>
      </c>
      <c r="C15" s="7" t="s">
        <v>13</v>
      </c>
      <c r="D15" s="4">
        <v>0.3923611111111111</v>
      </c>
      <c r="E15" s="4">
        <v>0.375</v>
      </c>
      <c r="F15" s="6">
        <v>0.36458333333333331</v>
      </c>
      <c r="G15" s="6">
        <v>0.35416666666666669</v>
      </c>
      <c r="H15" s="5"/>
      <c r="I15" s="19">
        <v>375000</v>
      </c>
      <c r="J15" s="19">
        <v>300000</v>
      </c>
      <c r="K15" s="19">
        <f t="shared" si="0"/>
        <v>75000</v>
      </c>
    </row>
    <row r="16" spans="2:11">
      <c r="B16" s="2">
        <v>12</v>
      </c>
      <c r="C16" s="7" t="s">
        <v>13</v>
      </c>
      <c r="D16" s="4">
        <v>0.45833333333333331</v>
      </c>
      <c r="E16" s="4">
        <v>0.46875</v>
      </c>
      <c r="F16" s="4">
        <v>0.47916666666666669</v>
      </c>
      <c r="G16" s="6">
        <v>0.48958333333333331</v>
      </c>
      <c r="H16" s="5"/>
      <c r="I16" s="19">
        <v>450000</v>
      </c>
      <c r="J16" s="19">
        <v>300000</v>
      </c>
      <c r="K16" s="19">
        <f t="shared" si="0"/>
        <v>150000</v>
      </c>
    </row>
    <row r="17" spans="2:11">
      <c r="B17" s="2">
        <v>13</v>
      </c>
      <c r="C17" s="7" t="s">
        <v>13</v>
      </c>
      <c r="D17" s="8">
        <v>0.63541666666666663</v>
      </c>
      <c r="E17" s="6">
        <v>0.64583333333333337</v>
      </c>
      <c r="F17" s="8">
        <v>0.65625</v>
      </c>
      <c r="G17" s="6">
        <v>0.66666666666666663</v>
      </c>
      <c r="H17" s="5"/>
      <c r="I17" s="19">
        <v>400000</v>
      </c>
      <c r="J17" s="19">
        <v>300000</v>
      </c>
      <c r="K17" s="19">
        <f t="shared" si="0"/>
        <v>100000</v>
      </c>
    </row>
    <row r="18" spans="2:11">
      <c r="B18" s="2">
        <v>14</v>
      </c>
      <c r="C18" s="7" t="s">
        <v>14</v>
      </c>
      <c r="D18" s="4">
        <v>0.41666666666666669</v>
      </c>
      <c r="E18" s="5"/>
      <c r="F18" s="4">
        <v>0.4375</v>
      </c>
      <c r="G18" s="5"/>
      <c r="H18" s="4">
        <v>0.46875</v>
      </c>
      <c r="I18" s="19">
        <v>450000</v>
      </c>
      <c r="J18" s="19">
        <v>400000</v>
      </c>
      <c r="K18" s="19">
        <f t="shared" si="0"/>
        <v>50000</v>
      </c>
    </row>
    <row r="19" spans="2:11">
      <c r="B19" s="2">
        <v>15</v>
      </c>
      <c r="C19" s="7" t="s">
        <v>14</v>
      </c>
      <c r="D19" s="8">
        <v>0.61458333333333337</v>
      </c>
      <c r="E19" s="5"/>
      <c r="F19" s="6">
        <v>0.63541666666666663</v>
      </c>
      <c r="G19" s="5"/>
      <c r="H19" s="8">
        <v>0.66666666666666663</v>
      </c>
      <c r="I19" s="19">
        <v>450000</v>
      </c>
      <c r="J19" s="19">
        <v>400000</v>
      </c>
      <c r="K19" s="19">
        <f t="shared" si="0"/>
        <v>50000</v>
      </c>
    </row>
  </sheetData>
  <mergeCells count="6">
    <mergeCell ref="K3:K4"/>
    <mergeCell ref="B3:B4"/>
    <mergeCell ref="C3:C4"/>
    <mergeCell ref="D3:H3"/>
    <mergeCell ref="I3:I4"/>
    <mergeCell ref="J3:J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B9C6-EA89-4A50-95A7-5A5098B1A681}">
  <dimension ref="B3:K12"/>
  <sheetViews>
    <sheetView workbookViewId="0">
      <selection activeCell="B5" sqref="B5:B12"/>
    </sheetView>
  </sheetViews>
  <sheetFormatPr defaultRowHeight="15"/>
  <cols>
    <col min="2" max="2" width="5.7109375" customWidth="1"/>
    <col min="3" max="3" width="32.7109375" bestFit="1" customWidth="1"/>
    <col min="4" max="4" width="16" customWidth="1"/>
    <col min="5" max="5" width="10.28515625" customWidth="1"/>
    <col min="6" max="6" width="10" customWidth="1"/>
    <col min="7" max="7" width="18.42578125" customWidth="1"/>
    <col min="8" max="8" width="12.85546875" customWidth="1"/>
    <col min="9" max="11" width="12.42578125" bestFit="1" customWidth="1"/>
  </cols>
  <sheetData>
    <row r="3" spans="2:11">
      <c r="B3" s="12" t="s">
        <v>0</v>
      </c>
      <c r="C3" s="13" t="s">
        <v>1</v>
      </c>
      <c r="D3" s="14" t="s">
        <v>15</v>
      </c>
      <c r="E3" s="14"/>
      <c r="F3" s="14"/>
      <c r="G3" s="14"/>
      <c r="H3" s="14"/>
      <c r="I3" s="17" t="s">
        <v>22</v>
      </c>
      <c r="J3" s="17" t="s">
        <v>23</v>
      </c>
      <c r="K3" s="17" t="s">
        <v>24</v>
      </c>
    </row>
    <row r="4" spans="2:11">
      <c r="B4" s="12"/>
      <c r="C4" s="13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7"/>
      <c r="J4" s="17"/>
      <c r="K4" s="17"/>
    </row>
    <row r="5" spans="2:11">
      <c r="B5" s="2">
        <v>1</v>
      </c>
      <c r="C5" s="3" t="s">
        <v>2</v>
      </c>
      <c r="D5" s="15">
        <v>0.375</v>
      </c>
      <c r="E5" s="6">
        <v>0.35416666666666669</v>
      </c>
      <c r="F5" s="6">
        <v>0.34375</v>
      </c>
      <c r="G5" s="6">
        <v>0.33333333333333331</v>
      </c>
      <c r="H5" s="5"/>
      <c r="I5" s="18">
        <v>650000</v>
      </c>
      <c r="J5" s="18">
        <v>600000</v>
      </c>
      <c r="K5" s="19">
        <f>I5-J5</f>
        <v>50000</v>
      </c>
    </row>
    <row r="6" spans="2:11">
      <c r="B6" s="2">
        <v>2</v>
      </c>
      <c r="C6" s="3" t="s">
        <v>2</v>
      </c>
      <c r="D6" s="16">
        <v>0.48958333333333331</v>
      </c>
      <c r="E6" s="6">
        <v>0.51041666666666663</v>
      </c>
      <c r="F6" s="6">
        <v>0.53125</v>
      </c>
      <c r="G6" s="6">
        <v>0.55208333333333337</v>
      </c>
      <c r="H6" s="6">
        <v>0.57638888888888884</v>
      </c>
      <c r="I6" s="19">
        <v>650000</v>
      </c>
      <c r="J6" s="18">
        <v>600000</v>
      </c>
      <c r="K6" s="19">
        <f t="shared" ref="K6:K12" si="0">I6-J6</f>
        <v>50000</v>
      </c>
    </row>
    <row r="7" spans="2:11">
      <c r="B7" s="2">
        <v>3</v>
      </c>
      <c r="C7" s="3" t="s">
        <v>7</v>
      </c>
      <c r="D7" s="9">
        <v>0.39583333333333331</v>
      </c>
      <c r="E7" s="5"/>
      <c r="F7" s="9">
        <v>0.38541666666666669</v>
      </c>
      <c r="G7" s="6">
        <v>0.375</v>
      </c>
      <c r="H7" s="5"/>
      <c r="I7" s="19">
        <v>450000</v>
      </c>
      <c r="J7" s="18">
        <v>300000</v>
      </c>
      <c r="K7" s="19">
        <f t="shared" si="0"/>
        <v>150000</v>
      </c>
    </row>
    <row r="8" spans="2:11">
      <c r="B8" s="2">
        <v>4</v>
      </c>
      <c r="C8" s="10" t="s">
        <v>10</v>
      </c>
      <c r="D8" s="9">
        <v>0.52083333333333337</v>
      </c>
      <c r="E8" s="5"/>
      <c r="F8" s="6">
        <v>0.53125</v>
      </c>
      <c r="G8" s="6">
        <v>0.5625</v>
      </c>
      <c r="H8" s="5"/>
      <c r="I8" s="19">
        <v>375000</v>
      </c>
      <c r="J8" s="19">
        <v>275000</v>
      </c>
      <c r="K8" s="19">
        <f t="shared" si="0"/>
        <v>100000</v>
      </c>
    </row>
    <row r="9" spans="2:11">
      <c r="B9" s="2">
        <v>5</v>
      </c>
      <c r="C9" s="10" t="s">
        <v>11</v>
      </c>
      <c r="D9" s="9">
        <v>0.38194444444444442</v>
      </c>
      <c r="E9" s="6">
        <v>0.36458333333333331</v>
      </c>
      <c r="F9" s="6">
        <v>0.35416666666666669</v>
      </c>
      <c r="G9" s="6">
        <v>0.34375</v>
      </c>
      <c r="H9" s="5"/>
      <c r="I9" s="19">
        <v>375000</v>
      </c>
      <c r="J9" s="19">
        <v>275000</v>
      </c>
      <c r="K9" s="19">
        <f t="shared" si="0"/>
        <v>100000</v>
      </c>
    </row>
    <row r="10" spans="2:11">
      <c r="B10" s="2">
        <v>6</v>
      </c>
      <c r="C10" s="3" t="s">
        <v>12</v>
      </c>
      <c r="D10" s="4">
        <v>0.39583333333333331</v>
      </c>
      <c r="E10" s="5"/>
      <c r="F10" s="6">
        <v>0.38541666666666669</v>
      </c>
      <c r="G10" s="6">
        <v>0.375</v>
      </c>
      <c r="H10" s="5"/>
      <c r="I10" s="19">
        <v>350000</v>
      </c>
      <c r="J10" s="19">
        <v>25000</v>
      </c>
      <c r="K10" s="19">
        <f t="shared" si="0"/>
        <v>325000</v>
      </c>
    </row>
    <row r="11" spans="2:11">
      <c r="B11" s="2">
        <v>7</v>
      </c>
      <c r="C11" s="3" t="s">
        <v>13</v>
      </c>
      <c r="D11" s="4">
        <v>0.375</v>
      </c>
      <c r="E11" s="6">
        <v>0.36458333333333331</v>
      </c>
      <c r="F11" s="6">
        <v>0.35416666666666669</v>
      </c>
      <c r="G11" s="6">
        <v>0.34375</v>
      </c>
      <c r="H11" s="5"/>
      <c r="I11" s="19">
        <v>375000</v>
      </c>
      <c r="J11" s="19">
        <v>275000</v>
      </c>
      <c r="K11" s="19">
        <f t="shared" si="0"/>
        <v>100000</v>
      </c>
    </row>
    <row r="12" spans="2:11">
      <c r="B12" s="2">
        <v>8</v>
      </c>
      <c r="C12" s="11" t="s">
        <v>13</v>
      </c>
      <c r="D12" s="8">
        <v>0.52083333333333337</v>
      </c>
      <c r="E12" s="8">
        <v>0.53125</v>
      </c>
      <c r="F12" s="6">
        <v>0.54166666666666663</v>
      </c>
      <c r="G12" s="6">
        <v>0.55208333333333337</v>
      </c>
      <c r="H12" s="5"/>
      <c r="I12" s="19">
        <v>375000</v>
      </c>
      <c r="J12" s="19">
        <v>275000</v>
      </c>
      <c r="K12" s="19">
        <f t="shared" si="0"/>
        <v>100000</v>
      </c>
    </row>
  </sheetData>
  <mergeCells count="6">
    <mergeCell ref="B3:B4"/>
    <mergeCell ref="C3:C4"/>
    <mergeCell ref="D3:H3"/>
    <mergeCell ref="I3:I4"/>
    <mergeCell ref="J3:J4"/>
    <mergeCell ref="K3:K4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CD92-7EEE-46E3-B30F-C5BFD2E0353C}">
  <dimension ref="B3:K12"/>
  <sheetViews>
    <sheetView workbookViewId="0">
      <selection activeCell="B5" sqref="B5:B12"/>
    </sheetView>
  </sheetViews>
  <sheetFormatPr defaultRowHeight="15"/>
  <cols>
    <col min="2" max="2" width="5.7109375" customWidth="1"/>
    <col min="3" max="3" width="40" customWidth="1"/>
    <col min="4" max="4" width="16" customWidth="1"/>
    <col min="5" max="5" width="10.28515625" customWidth="1"/>
    <col min="6" max="6" width="10" customWidth="1"/>
    <col min="7" max="7" width="18.42578125" customWidth="1"/>
    <col min="8" max="8" width="12.85546875" customWidth="1"/>
    <col min="9" max="9" width="12.42578125" bestFit="1" customWidth="1"/>
    <col min="10" max="10" width="14.42578125" bestFit="1" customWidth="1"/>
    <col min="11" max="11" width="13.140625" bestFit="1" customWidth="1"/>
  </cols>
  <sheetData>
    <row r="3" spans="2:11">
      <c r="B3" s="12" t="s">
        <v>0</v>
      </c>
      <c r="C3" s="13" t="s">
        <v>1</v>
      </c>
      <c r="D3" s="14" t="s">
        <v>15</v>
      </c>
      <c r="E3" s="14"/>
      <c r="F3" s="14"/>
      <c r="G3" s="14"/>
      <c r="H3" s="14"/>
      <c r="I3" s="17" t="s">
        <v>22</v>
      </c>
      <c r="J3" s="17" t="s">
        <v>23</v>
      </c>
      <c r="K3" s="17" t="s">
        <v>24</v>
      </c>
    </row>
    <row r="4" spans="2:11">
      <c r="B4" s="12"/>
      <c r="C4" s="13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7"/>
      <c r="J4" s="17"/>
      <c r="K4" s="17"/>
    </row>
    <row r="5" spans="2:11">
      <c r="B5" s="2">
        <v>1</v>
      </c>
      <c r="C5" s="3" t="s">
        <v>2</v>
      </c>
      <c r="D5" s="15">
        <v>0.375</v>
      </c>
      <c r="E5" s="6">
        <v>0.35416666666666669</v>
      </c>
      <c r="F5" s="6">
        <v>0.34375</v>
      </c>
      <c r="G5" s="6">
        <v>0.33333333333333331</v>
      </c>
      <c r="H5" s="5"/>
      <c r="I5" s="18">
        <v>650000</v>
      </c>
      <c r="J5" s="18">
        <v>600000</v>
      </c>
      <c r="K5" s="19">
        <f>I5-J5</f>
        <v>50000</v>
      </c>
    </row>
    <row r="6" spans="2:11">
      <c r="B6" s="2">
        <v>2</v>
      </c>
      <c r="C6" s="3" t="s">
        <v>2</v>
      </c>
      <c r="D6" s="16">
        <v>0.48958333333333331</v>
      </c>
      <c r="E6" s="6">
        <v>0.51041666666666663</v>
      </c>
      <c r="F6" s="6">
        <v>0.53125</v>
      </c>
      <c r="G6" s="6">
        <v>0.55208333333333337</v>
      </c>
      <c r="H6" s="6">
        <v>0.57638888888888884</v>
      </c>
      <c r="I6" s="19">
        <v>650000</v>
      </c>
      <c r="J6" s="18">
        <v>600000</v>
      </c>
      <c r="K6" s="19">
        <f t="shared" ref="K6:K12" si="0">I6-J6</f>
        <v>50000</v>
      </c>
    </row>
    <row r="7" spans="2:11">
      <c r="B7" s="2">
        <v>3</v>
      </c>
      <c r="C7" s="3" t="s">
        <v>9</v>
      </c>
      <c r="D7" s="9">
        <v>0.52083333333333337</v>
      </c>
      <c r="E7" s="5"/>
      <c r="F7" s="9">
        <v>0.53125</v>
      </c>
      <c r="G7" s="6">
        <v>0.54861111111111116</v>
      </c>
      <c r="H7" s="5"/>
      <c r="I7" s="19">
        <v>500000</v>
      </c>
      <c r="J7" s="18">
        <v>375000</v>
      </c>
      <c r="K7" s="19">
        <f t="shared" si="0"/>
        <v>125000</v>
      </c>
    </row>
    <row r="8" spans="2:11">
      <c r="B8" s="2">
        <v>4</v>
      </c>
      <c r="C8" s="10" t="s">
        <v>10</v>
      </c>
      <c r="D8" s="9">
        <v>0.52083333333333337</v>
      </c>
      <c r="E8" s="5"/>
      <c r="F8" s="6">
        <v>0.53125</v>
      </c>
      <c r="G8" s="6">
        <v>0.5625</v>
      </c>
      <c r="H8" s="5"/>
      <c r="I8" s="19">
        <v>400000</v>
      </c>
      <c r="J8" s="19">
        <v>325000</v>
      </c>
      <c r="K8" s="19">
        <f t="shared" si="0"/>
        <v>75000</v>
      </c>
    </row>
    <row r="9" spans="2:11">
      <c r="B9" s="2">
        <v>5</v>
      </c>
      <c r="C9" s="10" t="s">
        <v>11</v>
      </c>
      <c r="D9" s="9">
        <v>0.38194444444444442</v>
      </c>
      <c r="E9" s="6">
        <v>0.36458333333333331</v>
      </c>
      <c r="F9" s="6">
        <v>0.35416666666666669</v>
      </c>
      <c r="G9" s="6">
        <v>0.34375</v>
      </c>
      <c r="H9" s="5"/>
      <c r="I9" s="19">
        <v>375000</v>
      </c>
      <c r="J9" s="19">
        <v>275000</v>
      </c>
      <c r="K9" s="19">
        <f t="shared" si="0"/>
        <v>100000</v>
      </c>
    </row>
    <row r="10" spans="2:11">
      <c r="B10" s="2">
        <v>6</v>
      </c>
      <c r="C10" s="3" t="s">
        <v>12</v>
      </c>
      <c r="D10" s="4">
        <v>0.39583333333333331</v>
      </c>
      <c r="E10" s="5"/>
      <c r="F10" s="6">
        <v>0.38541666666666669</v>
      </c>
      <c r="G10" s="6">
        <v>0.375</v>
      </c>
      <c r="H10" s="5"/>
      <c r="I10" s="19">
        <v>375000</v>
      </c>
      <c r="J10" s="19">
        <v>275000</v>
      </c>
      <c r="K10" s="19">
        <f t="shared" si="0"/>
        <v>100000</v>
      </c>
    </row>
    <row r="11" spans="2:11">
      <c r="B11" s="2">
        <v>7</v>
      </c>
      <c r="C11" s="3" t="s">
        <v>13</v>
      </c>
      <c r="D11" s="4">
        <v>0.375</v>
      </c>
      <c r="E11" s="6">
        <v>0.36458333333333331</v>
      </c>
      <c r="F11" s="6">
        <v>0.35416666666666669</v>
      </c>
      <c r="G11" s="6">
        <v>0.34375</v>
      </c>
      <c r="H11" s="5"/>
      <c r="I11" s="19">
        <v>400000</v>
      </c>
      <c r="J11" s="19">
        <v>325000</v>
      </c>
      <c r="K11" s="19">
        <f t="shared" si="0"/>
        <v>75000</v>
      </c>
    </row>
    <row r="12" spans="2:11">
      <c r="B12" s="2">
        <v>8</v>
      </c>
      <c r="C12" s="11" t="s">
        <v>13</v>
      </c>
      <c r="D12" s="8">
        <v>0.52083333333333337</v>
      </c>
      <c r="E12" s="8">
        <v>0.53125</v>
      </c>
      <c r="F12" s="6">
        <v>0.54166666666666663</v>
      </c>
      <c r="G12" s="6">
        <v>0.55208333333333337</v>
      </c>
      <c r="H12" s="5"/>
      <c r="I12" s="19">
        <v>400000</v>
      </c>
      <c r="J12" s="19">
        <v>325000</v>
      </c>
      <c r="K12" s="19">
        <f t="shared" si="0"/>
        <v>75000</v>
      </c>
    </row>
  </sheetData>
  <mergeCells count="6">
    <mergeCell ref="B3:B4"/>
    <mergeCell ref="C3:C4"/>
    <mergeCell ref="D3:H3"/>
    <mergeCell ref="I3:I4"/>
    <mergeCell ref="J3:J4"/>
    <mergeCell ref="K3:K4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0EC5-86BB-46D4-AD4B-90CE2A3EC8AB}">
  <dimension ref="B3:K10"/>
  <sheetViews>
    <sheetView workbookViewId="0">
      <selection activeCell="I3" sqref="I3:K10"/>
    </sheetView>
  </sheetViews>
  <sheetFormatPr defaultRowHeight="15"/>
  <cols>
    <col min="2" max="2" width="5.7109375" customWidth="1"/>
    <col min="3" max="3" width="40" customWidth="1"/>
    <col min="4" max="4" width="16" customWidth="1"/>
    <col min="5" max="5" width="10.28515625" customWidth="1"/>
    <col min="6" max="6" width="10" customWidth="1"/>
    <col min="7" max="7" width="18.42578125" customWidth="1"/>
    <col min="8" max="8" width="12.85546875" customWidth="1"/>
    <col min="9" max="9" width="12.42578125" bestFit="1" customWidth="1"/>
    <col min="10" max="10" width="14.42578125" bestFit="1" customWidth="1"/>
    <col min="11" max="11" width="13.140625" bestFit="1" customWidth="1"/>
  </cols>
  <sheetData>
    <row r="3" spans="2:11">
      <c r="B3" s="12" t="s">
        <v>0</v>
      </c>
      <c r="C3" s="13" t="s">
        <v>1</v>
      </c>
      <c r="D3" s="14" t="s">
        <v>15</v>
      </c>
      <c r="E3" s="14"/>
      <c r="F3" s="14"/>
      <c r="G3" s="14"/>
      <c r="H3" s="14"/>
      <c r="I3" s="17" t="s">
        <v>22</v>
      </c>
      <c r="J3" s="17" t="s">
        <v>23</v>
      </c>
      <c r="K3" s="17" t="s">
        <v>24</v>
      </c>
    </row>
    <row r="4" spans="2:11">
      <c r="B4" s="12"/>
      <c r="C4" s="13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7"/>
      <c r="J4" s="17"/>
      <c r="K4" s="17"/>
    </row>
    <row r="5" spans="2:11">
      <c r="B5" s="2">
        <v>1</v>
      </c>
      <c r="C5" s="3" t="s">
        <v>9</v>
      </c>
      <c r="D5" s="9">
        <v>0.52083333333333337</v>
      </c>
      <c r="E5" s="5"/>
      <c r="F5" s="9">
        <v>0.53125</v>
      </c>
      <c r="G5" s="6">
        <v>0.54861111111111116</v>
      </c>
      <c r="H5" s="5"/>
      <c r="I5" s="19">
        <v>650000</v>
      </c>
      <c r="J5" s="18">
        <v>550000</v>
      </c>
      <c r="K5" s="19">
        <f t="shared" ref="K5:K10" si="0">I5-J5</f>
        <v>100000</v>
      </c>
    </row>
    <row r="6" spans="2:11">
      <c r="B6" s="2">
        <v>2</v>
      </c>
      <c r="C6" s="10" t="s">
        <v>10</v>
      </c>
      <c r="D6" s="9">
        <v>0.52083333333333337</v>
      </c>
      <c r="E6" s="5"/>
      <c r="F6" s="6">
        <v>0.53125</v>
      </c>
      <c r="G6" s="6">
        <v>0.5625</v>
      </c>
      <c r="H6" s="5"/>
      <c r="I6" s="19">
        <v>450000</v>
      </c>
      <c r="J6" s="19">
        <v>375000</v>
      </c>
      <c r="K6" s="19">
        <f t="shared" si="0"/>
        <v>75000</v>
      </c>
    </row>
    <row r="7" spans="2:11">
      <c r="B7" s="2">
        <v>3</v>
      </c>
      <c r="C7" s="10" t="s">
        <v>11</v>
      </c>
      <c r="D7" s="9">
        <v>0.38194444444444442</v>
      </c>
      <c r="E7" s="6">
        <v>0.36458333333333331</v>
      </c>
      <c r="F7" s="6">
        <v>0.35416666666666669</v>
      </c>
      <c r="G7" s="6">
        <v>0.34375</v>
      </c>
      <c r="H7" s="5"/>
      <c r="I7" s="19">
        <v>425000</v>
      </c>
      <c r="J7" s="19">
        <v>350000</v>
      </c>
      <c r="K7" s="19">
        <f t="shared" si="0"/>
        <v>75000</v>
      </c>
    </row>
    <row r="8" spans="2:11">
      <c r="B8" s="2">
        <v>4</v>
      </c>
      <c r="C8" s="3" t="s">
        <v>12</v>
      </c>
      <c r="D8" s="4">
        <v>0.39583333333333331</v>
      </c>
      <c r="E8" s="5"/>
      <c r="F8" s="6">
        <v>0.38541666666666669</v>
      </c>
      <c r="G8" s="6">
        <v>0.375</v>
      </c>
      <c r="H8" s="5"/>
      <c r="I8" s="19">
        <v>400000</v>
      </c>
      <c r="J8" s="19">
        <v>325000</v>
      </c>
      <c r="K8" s="19">
        <f t="shared" si="0"/>
        <v>75000</v>
      </c>
    </row>
    <row r="9" spans="2:11">
      <c r="B9" s="2">
        <v>5</v>
      </c>
      <c r="C9" s="3" t="s">
        <v>13</v>
      </c>
      <c r="D9" s="4">
        <v>0.375</v>
      </c>
      <c r="E9" s="6">
        <v>0.36458333333333331</v>
      </c>
      <c r="F9" s="6">
        <v>0.35416666666666669</v>
      </c>
      <c r="G9" s="6">
        <v>0.34375</v>
      </c>
      <c r="H9" s="5"/>
      <c r="I9" s="19">
        <v>450000</v>
      </c>
      <c r="J9" s="19">
        <v>350000</v>
      </c>
      <c r="K9" s="19">
        <f t="shared" si="0"/>
        <v>100000</v>
      </c>
    </row>
    <row r="10" spans="2:11">
      <c r="B10" s="2">
        <v>6</v>
      </c>
      <c r="C10" s="11" t="s">
        <v>13</v>
      </c>
      <c r="D10" s="8">
        <v>0.52083333333333337</v>
      </c>
      <c r="E10" s="8">
        <v>0.53125</v>
      </c>
      <c r="F10" s="6">
        <v>0.54166666666666663</v>
      </c>
      <c r="G10" s="6">
        <v>0.55208333333333337</v>
      </c>
      <c r="H10" s="5"/>
      <c r="I10" s="19">
        <v>450000</v>
      </c>
      <c r="J10" s="19">
        <v>350000</v>
      </c>
      <c r="K10" s="19">
        <f t="shared" si="0"/>
        <v>100000</v>
      </c>
    </row>
  </sheetData>
  <mergeCells count="6">
    <mergeCell ref="B3:B4"/>
    <mergeCell ref="C3:C4"/>
    <mergeCell ref="D3:H3"/>
    <mergeCell ref="I3:I4"/>
    <mergeCell ref="J3:J4"/>
    <mergeCell ref="K3:K4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5DD9-75D0-4334-A739-D96FBBCE5EF5}">
  <dimension ref="B3:K8"/>
  <sheetViews>
    <sheetView workbookViewId="0">
      <selection activeCell="J9" sqref="J9"/>
    </sheetView>
  </sheetViews>
  <sheetFormatPr defaultRowHeight="15"/>
  <cols>
    <col min="2" max="2" width="5.7109375" customWidth="1"/>
    <col min="3" max="3" width="32.7109375" bestFit="1" customWidth="1"/>
    <col min="4" max="4" width="16" customWidth="1"/>
    <col min="5" max="5" width="10.28515625" customWidth="1"/>
    <col min="6" max="6" width="10" customWidth="1"/>
    <col min="7" max="7" width="18.42578125" customWidth="1"/>
    <col min="8" max="8" width="12.85546875" customWidth="1"/>
    <col min="9" max="9" width="12.42578125" bestFit="1" customWidth="1"/>
    <col min="10" max="10" width="14.42578125" bestFit="1" customWidth="1"/>
    <col min="11" max="11" width="13.140625" bestFit="1" customWidth="1"/>
  </cols>
  <sheetData>
    <row r="3" spans="2:11">
      <c r="B3" s="12" t="s">
        <v>0</v>
      </c>
      <c r="C3" s="13" t="s">
        <v>1</v>
      </c>
      <c r="D3" s="14" t="s">
        <v>15</v>
      </c>
      <c r="E3" s="14"/>
      <c r="F3" s="14"/>
      <c r="G3" s="14"/>
      <c r="H3" s="14"/>
      <c r="I3" s="17" t="s">
        <v>22</v>
      </c>
      <c r="J3" s="17" t="s">
        <v>23</v>
      </c>
      <c r="K3" s="17" t="s">
        <v>24</v>
      </c>
    </row>
    <row r="4" spans="2:11">
      <c r="B4" s="12"/>
      <c r="C4" s="13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7"/>
      <c r="J4" s="17"/>
      <c r="K4" s="17"/>
    </row>
    <row r="5" spans="2:11">
      <c r="B5" s="2">
        <v>1</v>
      </c>
      <c r="C5" s="3" t="s">
        <v>2</v>
      </c>
      <c r="D5" s="4">
        <v>0.45833333333333331</v>
      </c>
      <c r="E5" s="4">
        <v>0.46875</v>
      </c>
      <c r="F5" s="4">
        <v>0.47916666666666669</v>
      </c>
      <c r="G5" s="6">
        <v>0.5</v>
      </c>
      <c r="H5" s="6">
        <v>0.52083333333333337</v>
      </c>
      <c r="I5" s="19">
        <v>825000</v>
      </c>
      <c r="J5" s="18">
        <v>775000</v>
      </c>
      <c r="K5" s="19">
        <f t="shared" ref="K5:K8" si="0">I5-J5</f>
        <v>50000</v>
      </c>
    </row>
    <row r="6" spans="2:11">
      <c r="B6" s="2">
        <v>2</v>
      </c>
      <c r="C6" s="3" t="s">
        <v>2</v>
      </c>
      <c r="D6" s="16">
        <v>0.48958333333333331</v>
      </c>
      <c r="E6" s="6">
        <v>0.51041666666666663</v>
      </c>
      <c r="F6" s="6">
        <v>0.53125</v>
      </c>
      <c r="G6" s="6">
        <v>0.55208333333333337</v>
      </c>
      <c r="H6" s="6">
        <v>0.57638888888888884</v>
      </c>
      <c r="I6" s="19">
        <v>825000</v>
      </c>
      <c r="J6" s="18">
        <v>775000</v>
      </c>
      <c r="K6" s="19">
        <f t="shared" si="0"/>
        <v>50000</v>
      </c>
    </row>
    <row r="7" spans="2:11">
      <c r="B7" s="2">
        <v>3</v>
      </c>
      <c r="C7" s="7" t="s">
        <v>3</v>
      </c>
      <c r="D7" s="9">
        <v>0.45833333333333331</v>
      </c>
      <c r="E7" s="5"/>
      <c r="F7" s="9">
        <v>0.47916666666666669</v>
      </c>
      <c r="G7" s="6">
        <v>0.50694444444444442</v>
      </c>
      <c r="H7" s="5"/>
      <c r="I7" s="19">
        <v>900000</v>
      </c>
      <c r="J7" s="19">
        <v>800000</v>
      </c>
      <c r="K7" s="19">
        <f t="shared" si="0"/>
        <v>100000</v>
      </c>
    </row>
    <row r="8" spans="2:11">
      <c r="B8" s="2">
        <v>4</v>
      </c>
      <c r="C8" s="3" t="s">
        <v>7</v>
      </c>
      <c r="D8" s="9">
        <v>0.39583333333333331</v>
      </c>
      <c r="E8" s="5"/>
      <c r="F8" s="9">
        <v>0.38541666666666669</v>
      </c>
      <c r="G8" s="6">
        <v>0.375</v>
      </c>
      <c r="H8" s="5"/>
      <c r="I8" s="19">
        <v>550000</v>
      </c>
      <c r="J8" s="19">
        <v>450000</v>
      </c>
      <c r="K8" s="19">
        <f t="shared" si="0"/>
        <v>100000</v>
      </c>
    </row>
  </sheetData>
  <mergeCells count="6">
    <mergeCell ref="B3:B4"/>
    <mergeCell ref="C3:C4"/>
    <mergeCell ref="D3:H3"/>
    <mergeCell ref="I3:I4"/>
    <mergeCell ref="J3:J4"/>
    <mergeCell ref="K3:K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PADANG BAI</vt:lpstr>
      <vt:lpstr>NUSA PENIDA</vt:lpstr>
      <vt:lpstr>NUSA LEMBONGAN</vt:lpstr>
      <vt:lpstr>SANUR</vt:lpstr>
      <vt:lpstr>SERANGAN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Lalu Fikriadi Ilham</dc:creator>
  <cp:lastModifiedBy>pf61w77w@outlook.com</cp:lastModifiedBy>
  <dcterms:created xsi:type="dcterms:W3CDTF">2026-05-06T14:23:45Z</dcterms:created>
  <dcterms:modified xsi:type="dcterms:W3CDTF">2026-05-11T07:55:15Z</dcterms:modified>
</cp:coreProperties>
</file>